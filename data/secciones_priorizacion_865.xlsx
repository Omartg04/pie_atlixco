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omartellez/pie_atlixco/data/"/>
    </mc:Choice>
  </mc:AlternateContent>
  <xr:revisionPtr revIDLastSave="0" documentId="13_ncr:1_{1751B7E6-64BA-B641-A2C0-B79F11BB93C7}" xr6:coauthVersionLast="47" xr6:coauthVersionMax="47" xr10:uidLastSave="{00000000-0000-0000-0000-000000000000}"/>
  <bookViews>
    <workbookView xWindow="6080" yWindow="2700" windowWidth="16380" windowHeight="8200" tabRatio="500" xr2:uid="{00000000-000D-0000-FFFF-FFFF00000000}"/>
  </bookViews>
  <sheets>
    <sheet name="Priorizacion 865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8" i="1" l="1"/>
  <c r="H38" i="1"/>
  <c r="A38" i="1"/>
  <c r="I37" i="1"/>
  <c r="H37" i="1"/>
  <c r="A37" i="1"/>
  <c r="I36" i="1"/>
  <c r="H36" i="1"/>
  <c r="A36" i="1"/>
  <c r="I35" i="1"/>
  <c r="H35" i="1"/>
  <c r="A35" i="1"/>
  <c r="I34" i="1"/>
  <c r="H34" i="1"/>
  <c r="A34" i="1"/>
  <c r="I33" i="1"/>
  <c r="H33" i="1"/>
  <c r="A33" i="1"/>
  <c r="I32" i="1"/>
  <c r="H32" i="1"/>
  <c r="A32" i="1"/>
  <c r="I31" i="1"/>
  <c r="H31" i="1"/>
  <c r="A31" i="1"/>
  <c r="I30" i="1"/>
  <c r="H30" i="1"/>
  <c r="A30" i="1"/>
  <c r="I29" i="1"/>
  <c r="H29" i="1"/>
  <c r="A29" i="1"/>
  <c r="I28" i="1"/>
  <c r="H28" i="1"/>
  <c r="A28" i="1"/>
  <c r="I27" i="1"/>
  <c r="H27" i="1"/>
  <c r="A27" i="1"/>
  <c r="I26" i="1"/>
  <c r="H26" i="1"/>
  <c r="A26" i="1"/>
  <c r="I25" i="1"/>
  <c r="H25" i="1"/>
  <c r="A25" i="1"/>
  <c r="I24" i="1"/>
  <c r="H24" i="1"/>
  <c r="A24" i="1"/>
  <c r="I23" i="1"/>
  <c r="H23" i="1"/>
  <c r="A23" i="1"/>
  <c r="I22" i="1"/>
  <c r="H22" i="1"/>
  <c r="A22" i="1"/>
  <c r="I21" i="1"/>
  <c r="H21" i="1"/>
  <c r="A21" i="1"/>
  <c r="I20" i="1"/>
  <c r="H20" i="1"/>
  <c r="A20" i="1"/>
  <c r="I19" i="1"/>
  <c r="H19" i="1"/>
  <c r="A19" i="1"/>
  <c r="I18" i="1"/>
  <c r="H18" i="1"/>
  <c r="A18" i="1"/>
  <c r="I17" i="1"/>
  <c r="H17" i="1"/>
  <c r="A17" i="1"/>
  <c r="I16" i="1"/>
  <c r="H16" i="1"/>
  <c r="A16" i="1"/>
  <c r="I15" i="1"/>
  <c r="H15" i="1"/>
  <c r="A15" i="1"/>
  <c r="I14" i="1"/>
  <c r="H14" i="1"/>
  <c r="A14" i="1"/>
  <c r="I13" i="1"/>
  <c r="H13" i="1"/>
  <c r="A13" i="1"/>
  <c r="I12" i="1"/>
  <c r="H12" i="1"/>
  <c r="A12" i="1"/>
  <c r="I11" i="1"/>
  <c r="H11" i="1"/>
  <c r="A11" i="1"/>
  <c r="I10" i="1"/>
  <c r="H10" i="1"/>
  <c r="A10" i="1"/>
  <c r="I9" i="1"/>
  <c r="H9" i="1"/>
  <c r="A9" i="1"/>
  <c r="I8" i="1"/>
  <c r="H8" i="1"/>
  <c r="A8" i="1"/>
  <c r="I7" i="1"/>
  <c r="H7" i="1"/>
  <c r="A7" i="1"/>
  <c r="I6" i="1"/>
  <c r="H6" i="1"/>
  <c r="A6" i="1"/>
  <c r="I5" i="1"/>
  <c r="H5" i="1"/>
  <c r="A5" i="1"/>
  <c r="I4" i="1"/>
  <c r="H4" i="1"/>
  <c r="A4" i="1"/>
  <c r="I3" i="1"/>
  <c r="H3" i="1"/>
  <c r="A3" i="1"/>
  <c r="I2" i="1"/>
  <c r="H2" i="1"/>
  <c r="A2" i="1"/>
</calcChain>
</file>

<file path=xl/sharedStrings.xml><?xml version="1.0" encoding="utf-8"?>
<sst xmlns="http://schemas.openxmlformats.org/spreadsheetml/2006/main" count="49" uniqueCount="15">
  <si>
    <t>Ranking prioridad</t>
  </si>
  <si>
    <t>Sección</t>
  </si>
  <si>
    <t>Tipo</t>
  </si>
  <si>
    <t>LN real sección</t>
  </si>
  <si>
    <t>N manzanas totales (sección)</t>
  </si>
  <si>
    <t>N manzanas elegibles (universo 80%)</t>
  </si>
  <si>
    <t>LN agregada elegibles (80%)</t>
  </si>
  <si>
    <t>% LN sección en elegibles</t>
  </si>
  <si>
    <t>LN promedio por manzana elegible</t>
  </si>
  <si>
    <t>Piso mínimo</t>
  </si>
  <si>
    <t>Techo máximo</t>
  </si>
  <si>
    <t>Mínimo garantizado (optimización)</t>
  </si>
  <si>
    <t>Urbana</t>
  </si>
  <si>
    <t>Rural</t>
  </si>
  <si>
    <t>Mixta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</si>
</sst>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zoomScaleNormal="100" workbookViewId="0">
      <pane ySplit="1" topLeftCell="A36" activePane="bottomLeft" state="frozen"/>
      <selection pane="bottomLeft" activeCell="A41" sqref="A41:XFD41"/>
    </sheetView>
  </sheetViews>
  <sheetFormatPr baseColWidth="10" defaultColWidth="8.6640625" defaultRowHeight="15" x14ac:dyDescent="0.2"/>
  <cols>
    <col min="1" max="1" width="10" customWidth="1"/>
    <col min="2" max="3" width="9" customWidth="1"/>
    <col min="4" max="4" width="13" customWidth="1"/>
    <col min="5" max="5" width="14" customWidth="1"/>
    <col min="6" max="6" width="16" customWidth="1"/>
    <col min="7" max="7" width="15" customWidth="1"/>
    <col min="8" max="8" width="14" customWidth="1"/>
    <col min="9" max="9" width="15" customWidth="1"/>
    <col min="10" max="10" width="9" customWidth="1"/>
    <col min="11" max="11" width="10" customWidth="1"/>
    <col min="12" max="12" width="15" customWidth="1"/>
  </cols>
  <sheetData>
    <row r="1" spans="1:12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f t="shared" ref="A2:A38" si="0">RANK(G2,$G$2:$G$38)</f>
        <v>1</v>
      </c>
      <c r="B2" s="3">
        <v>160</v>
      </c>
      <c r="C2" s="3" t="s">
        <v>12</v>
      </c>
      <c r="D2" s="4">
        <v>7388</v>
      </c>
      <c r="E2" s="5">
        <v>139</v>
      </c>
      <c r="F2" s="5">
        <v>66</v>
      </c>
      <c r="G2" s="6">
        <v>5939</v>
      </c>
      <c r="H2" s="7">
        <f t="shared" ref="H2:H38" si="1">G2/D2</f>
        <v>0.80387114239306989</v>
      </c>
      <c r="I2" s="8">
        <f t="shared" ref="I2:I38" si="2">IFERROR(G2/F2,0)</f>
        <v>89.984848484848484</v>
      </c>
      <c r="J2" s="5">
        <v>4</v>
      </c>
      <c r="K2" s="5">
        <v>8</v>
      </c>
      <c r="L2" s="5">
        <v>8</v>
      </c>
    </row>
    <row r="3" spans="1:12" x14ac:dyDescent="0.2">
      <c r="A3" s="2">
        <f t="shared" si="0"/>
        <v>2</v>
      </c>
      <c r="B3" s="3">
        <v>208</v>
      </c>
      <c r="C3" s="3" t="s">
        <v>13</v>
      </c>
      <c r="D3" s="4">
        <v>4834</v>
      </c>
      <c r="E3" s="5">
        <v>128</v>
      </c>
      <c r="F3" s="5">
        <v>70</v>
      </c>
      <c r="G3" s="6">
        <v>3891.5</v>
      </c>
      <c r="H3" s="7">
        <f t="shared" si="1"/>
        <v>0.80502689284236661</v>
      </c>
      <c r="I3" s="8">
        <f t="shared" si="2"/>
        <v>55.592857142857142</v>
      </c>
      <c r="J3" s="5">
        <v>4</v>
      </c>
      <c r="K3" s="5">
        <v>8</v>
      </c>
      <c r="L3" s="5">
        <v>8</v>
      </c>
    </row>
    <row r="4" spans="1:12" x14ac:dyDescent="0.2">
      <c r="A4" s="2">
        <f t="shared" si="0"/>
        <v>3</v>
      </c>
      <c r="B4" s="3">
        <v>174</v>
      </c>
      <c r="C4" s="3" t="s">
        <v>14</v>
      </c>
      <c r="D4" s="4">
        <v>3618</v>
      </c>
      <c r="E4" s="5">
        <v>70</v>
      </c>
      <c r="F4" s="5">
        <v>38</v>
      </c>
      <c r="G4" s="6">
        <v>2917.5</v>
      </c>
      <c r="H4" s="7">
        <f t="shared" si="1"/>
        <v>0.8063847429519071</v>
      </c>
      <c r="I4" s="8">
        <f t="shared" si="2"/>
        <v>76.776315789473685</v>
      </c>
      <c r="J4" s="5">
        <v>4</v>
      </c>
      <c r="K4" s="5">
        <v>8</v>
      </c>
      <c r="L4" s="5">
        <v>8</v>
      </c>
    </row>
    <row r="5" spans="1:12" x14ac:dyDescent="0.2">
      <c r="A5" s="2">
        <f t="shared" si="0"/>
        <v>4</v>
      </c>
      <c r="B5" s="3">
        <v>201</v>
      </c>
      <c r="C5" s="3" t="s">
        <v>12</v>
      </c>
      <c r="D5" s="4">
        <v>3011</v>
      </c>
      <c r="E5" s="5">
        <v>59</v>
      </c>
      <c r="F5" s="5">
        <v>35</v>
      </c>
      <c r="G5" s="6">
        <v>2439.8000000000002</v>
      </c>
      <c r="H5" s="7">
        <f t="shared" si="1"/>
        <v>0.81029558286283632</v>
      </c>
      <c r="I5" s="8">
        <f t="shared" si="2"/>
        <v>69.708571428571432</v>
      </c>
      <c r="J5" s="5">
        <v>4</v>
      </c>
      <c r="K5" s="5">
        <v>8</v>
      </c>
      <c r="L5" s="5">
        <v>8</v>
      </c>
    </row>
    <row r="6" spans="1:12" x14ac:dyDescent="0.2">
      <c r="A6" s="2">
        <f t="shared" si="0"/>
        <v>5</v>
      </c>
      <c r="B6" s="3">
        <v>164</v>
      </c>
      <c r="C6" s="3" t="s">
        <v>12</v>
      </c>
      <c r="D6" s="4">
        <v>2926</v>
      </c>
      <c r="E6" s="5">
        <v>44</v>
      </c>
      <c r="F6" s="5">
        <v>26</v>
      </c>
      <c r="G6" s="6">
        <v>2368.4</v>
      </c>
      <c r="H6" s="7">
        <f t="shared" si="1"/>
        <v>0.80943267259056739</v>
      </c>
      <c r="I6" s="8">
        <f t="shared" si="2"/>
        <v>91.092307692307699</v>
      </c>
      <c r="J6" s="5">
        <v>3</v>
      </c>
      <c r="K6" s="5">
        <v>6</v>
      </c>
      <c r="L6" s="5">
        <v>6</v>
      </c>
    </row>
    <row r="7" spans="1:12" x14ac:dyDescent="0.2">
      <c r="A7" s="2">
        <f t="shared" si="0"/>
        <v>6</v>
      </c>
      <c r="B7" s="3">
        <v>212</v>
      </c>
      <c r="C7" s="3" t="s">
        <v>14</v>
      </c>
      <c r="D7" s="4">
        <v>2739</v>
      </c>
      <c r="E7" s="5">
        <v>42</v>
      </c>
      <c r="F7" s="5">
        <v>8</v>
      </c>
      <c r="G7" s="6">
        <v>2228.4</v>
      </c>
      <c r="H7" s="7">
        <f t="shared" si="1"/>
        <v>0.81358159912376782</v>
      </c>
      <c r="I7" s="8">
        <f t="shared" si="2"/>
        <v>278.55</v>
      </c>
      <c r="J7" s="5">
        <v>3</v>
      </c>
      <c r="K7" s="5">
        <v>6</v>
      </c>
      <c r="L7" s="5">
        <v>3</v>
      </c>
    </row>
    <row r="8" spans="1:12" x14ac:dyDescent="0.2">
      <c r="A8" s="2">
        <f t="shared" si="0"/>
        <v>7</v>
      </c>
      <c r="B8" s="3">
        <v>169</v>
      </c>
      <c r="C8" s="3" t="s">
        <v>12</v>
      </c>
      <c r="D8" s="4">
        <v>2737</v>
      </c>
      <c r="E8" s="5">
        <v>54</v>
      </c>
      <c r="F8" s="5">
        <v>26</v>
      </c>
      <c r="G8" s="6">
        <v>2226.8000000000002</v>
      </c>
      <c r="H8" s="7">
        <f t="shared" si="1"/>
        <v>0.81359152356594822</v>
      </c>
      <c r="I8" s="8">
        <f t="shared" si="2"/>
        <v>85.646153846153851</v>
      </c>
      <c r="J8" s="5">
        <v>4</v>
      </c>
      <c r="K8" s="5">
        <v>8</v>
      </c>
      <c r="L8" s="5">
        <v>8</v>
      </c>
    </row>
    <row r="9" spans="1:12" x14ac:dyDescent="0.2">
      <c r="A9" s="2">
        <f t="shared" si="0"/>
        <v>8</v>
      </c>
      <c r="B9" s="3">
        <v>186</v>
      </c>
      <c r="C9" s="3" t="s">
        <v>12</v>
      </c>
      <c r="D9" s="4">
        <v>2463</v>
      </c>
      <c r="E9" s="5">
        <v>29</v>
      </c>
      <c r="F9" s="5">
        <v>18</v>
      </c>
      <c r="G9" s="6">
        <v>2035</v>
      </c>
      <c r="H9" s="7">
        <f t="shared" si="1"/>
        <v>0.82622817701989448</v>
      </c>
      <c r="I9" s="8">
        <f t="shared" si="2"/>
        <v>113.05555555555556</v>
      </c>
      <c r="J9" s="5">
        <v>2</v>
      </c>
      <c r="K9" s="5">
        <v>4</v>
      </c>
      <c r="L9" s="5">
        <v>4</v>
      </c>
    </row>
    <row r="10" spans="1:12" x14ac:dyDescent="0.2">
      <c r="A10" s="2">
        <f t="shared" si="0"/>
        <v>9</v>
      </c>
      <c r="B10" s="3">
        <v>216</v>
      </c>
      <c r="C10" s="3" t="s">
        <v>13</v>
      </c>
      <c r="D10" s="4">
        <v>2384</v>
      </c>
      <c r="E10" s="5">
        <v>72</v>
      </c>
      <c r="F10" s="5">
        <v>37</v>
      </c>
      <c r="G10" s="6">
        <v>1907.4</v>
      </c>
      <c r="H10" s="7">
        <f t="shared" si="1"/>
        <v>0.80008389261744972</v>
      </c>
      <c r="I10" s="8">
        <f t="shared" si="2"/>
        <v>51.551351351351357</v>
      </c>
      <c r="J10" s="5">
        <v>4</v>
      </c>
      <c r="K10" s="5">
        <v>8</v>
      </c>
      <c r="L10" s="5">
        <v>8</v>
      </c>
    </row>
    <row r="11" spans="1:12" x14ac:dyDescent="0.2">
      <c r="A11" s="2">
        <f t="shared" si="0"/>
        <v>10</v>
      </c>
      <c r="B11" s="3">
        <v>159</v>
      </c>
      <c r="C11" s="3" t="s">
        <v>14</v>
      </c>
      <c r="D11" s="4">
        <v>2339</v>
      </c>
      <c r="E11" s="5">
        <v>38</v>
      </c>
      <c r="F11" s="5">
        <v>16</v>
      </c>
      <c r="G11" s="6">
        <v>1894.5</v>
      </c>
      <c r="H11" s="7">
        <f t="shared" si="1"/>
        <v>0.80996152201795635</v>
      </c>
      <c r="I11" s="8">
        <f t="shared" si="2"/>
        <v>118.40625</v>
      </c>
      <c r="J11" s="5">
        <v>3</v>
      </c>
      <c r="K11" s="5">
        <v>6</v>
      </c>
      <c r="L11" s="5">
        <v>6</v>
      </c>
    </row>
    <row r="12" spans="1:12" x14ac:dyDescent="0.2">
      <c r="A12" s="2">
        <f t="shared" si="0"/>
        <v>11</v>
      </c>
      <c r="B12" s="3">
        <v>202</v>
      </c>
      <c r="C12" s="3" t="s">
        <v>14</v>
      </c>
      <c r="D12" s="4">
        <v>2284</v>
      </c>
      <c r="E12" s="5">
        <v>67</v>
      </c>
      <c r="F12" s="5">
        <v>37</v>
      </c>
      <c r="G12" s="6">
        <v>1852.5</v>
      </c>
      <c r="H12" s="7">
        <f t="shared" si="1"/>
        <v>0.81107705779334505</v>
      </c>
      <c r="I12" s="8">
        <f t="shared" si="2"/>
        <v>50.067567567567565</v>
      </c>
      <c r="J12" s="5">
        <v>4</v>
      </c>
      <c r="K12" s="5">
        <v>8</v>
      </c>
      <c r="L12" s="5">
        <v>8</v>
      </c>
    </row>
    <row r="13" spans="1:12" x14ac:dyDescent="0.2">
      <c r="A13" s="2">
        <f t="shared" si="0"/>
        <v>12</v>
      </c>
      <c r="B13" s="3">
        <v>154</v>
      </c>
      <c r="C13" s="3" t="s">
        <v>12</v>
      </c>
      <c r="D13" s="4">
        <v>2272</v>
      </c>
      <c r="E13" s="5">
        <v>68</v>
      </c>
      <c r="F13" s="5">
        <v>31</v>
      </c>
      <c r="G13" s="6">
        <v>1828.4</v>
      </c>
      <c r="H13" s="7">
        <f t="shared" si="1"/>
        <v>0.80475352112676057</v>
      </c>
      <c r="I13" s="8">
        <f t="shared" si="2"/>
        <v>58.980645161290326</v>
      </c>
      <c r="J13" s="5">
        <v>4</v>
      </c>
      <c r="K13" s="5">
        <v>8</v>
      </c>
      <c r="L13" s="5">
        <v>8</v>
      </c>
    </row>
    <row r="14" spans="1:12" x14ac:dyDescent="0.2">
      <c r="A14" s="2">
        <f t="shared" si="0"/>
        <v>13</v>
      </c>
      <c r="B14" s="3">
        <v>170</v>
      </c>
      <c r="C14" s="3" t="s">
        <v>12</v>
      </c>
      <c r="D14" s="4">
        <v>2155</v>
      </c>
      <c r="E14" s="5">
        <v>55</v>
      </c>
      <c r="F14" s="5">
        <v>27</v>
      </c>
      <c r="G14" s="6">
        <v>1753.3</v>
      </c>
      <c r="H14" s="7">
        <f t="shared" si="1"/>
        <v>0.81359628770301617</v>
      </c>
      <c r="I14" s="8">
        <f t="shared" si="2"/>
        <v>64.93703703703703</v>
      </c>
      <c r="J14" s="5">
        <v>4</v>
      </c>
      <c r="K14" s="5">
        <v>8</v>
      </c>
      <c r="L14" s="5">
        <v>8</v>
      </c>
    </row>
    <row r="15" spans="1:12" x14ac:dyDescent="0.2">
      <c r="A15" s="2">
        <f t="shared" si="0"/>
        <v>14</v>
      </c>
      <c r="B15" s="3">
        <v>185</v>
      </c>
      <c r="C15" s="3" t="s">
        <v>12</v>
      </c>
      <c r="D15" s="4">
        <v>2130</v>
      </c>
      <c r="E15" s="5">
        <v>29</v>
      </c>
      <c r="F15" s="5">
        <v>15</v>
      </c>
      <c r="G15" s="6">
        <v>1711.5</v>
      </c>
      <c r="H15" s="7">
        <f t="shared" si="1"/>
        <v>0.80352112676056342</v>
      </c>
      <c r="I15" s="8">
        <f t="shared" si="2"/>
        <v>114.1</v>
      </c>
      <c r="J15" s="5">
        <v>2</v>
      </c>
      <c r="K15" s="5">
        <v>4</v>
      </c>
      <c r="L15" s="5">
        <v>4</v>
      </c>
    </row>
    <row r="16" spans="1:12" x14ac:dyDescent="0.2">
      <c r="A16" s="2">
        <f t="shared" si="0"/>
        <v>15</v>
      </c>
      <c r="B16" s="3">
        <v>173</v>
      </c>
      <c r="C16" s="3" t="s">
        <v>12</v>
      </c>
      <c r="D16" s="4">
        <v>2074</v>
      </c>
      <c r="E16" s="5">
        <v>40</v>
      </c>
      <c r="F16" s="5">
        <v>21</v>
      </c>
      <c r="G16" s="6">
        <v>1673.1</v>
      </c>
      <c r="H16" s="7">
        <f t="shared" si="1"/>
        <v>0.80670202507232391</v>
      </c>
      <c r="I16" s="8">
        <f t="shared" si="2"/>
        <v>79.671428571428564</v>
      </c>
      <c r="J16" s="5">
        <v>3</v>
      </c>
      <c r="K16" s="5">
        <v>6</v>
      </c>
      <c r="L16" s="5">
        <v>6</v>
      </c>
    </row>
    <row r="17" spans="1:12" x14ac:dyDescent="0.2">
      <c r="A17" s="2">
        <f t="shared" si="0"/>
        <v>16</v>
      </c>
      <c r="B17" s="3">
        <v>213</v>
      </c>
      <c r="C17" s="3" t="s">
        <v>12</v>
      </c>
      <c r="D17" s="4">
        <v>2052</v>
      </c>
      <c r="E17" s="5">
        <v>49</v>
      </c>
      <c r="F17" s="5">
        <v>26</v>
      </c>
      <c r="G17" s="6">
        <v>1668.2</v>
      </c>
      <c r="H17" s="7">
        <f t="shared" si="1"/>
        <v>0.812962962962963</v>
      </c>
      <c r="I17" s="8">
        <f t="shared" si="2"/>
        <v>64.16153846153847</v>
      </c>
      <c r="J17" s="5">
        <v>3</v>
      </c>
      <c r="K17" s="5">
        <v>6</v>
      </c>
      <c r="L17" s="5">
        <v>6</v>
      </c>
    </row>
    <row r="18" spans="1:12" x14ac:dyDescent="0.2">
      <c r="A18" s="2">
        <f t="shared" si="0"/>
        <v>17</v>
      </c>
      <c r="B18" s="3">
        <v>209</v>
      </c>
      <c r="C18" s="3" t="s">
        <v>13</v>
      </c>
      <c r="D18" s="4">
        <v>2041</v>
      </c>
      <c r="E18" s="5">
        <v>69</v>
      </c>
      <c r="F18" s="5">
        <v>29</v>
      </c>
      <c r="G18" s="6">
        <v>1647.5</v>
      </c>
      <c r="H18" s="7">
        <f t="shared" si="1"/>
        <v>0.8072023517883391</v>
      </c>
      <c r="I18" s="8">
        <f t="shared" si="2"/>
        <v>56.810344827586206</v>
      </c>
      <c r="J18" s="5">
        <v>4</v>
      </c>
      <c r="K18" s="5">
        <v>8</v>
      </c>
      <c r="L18" s="5">
        <v>8</v>
      </c>
    </row>
    <row r="19" spans="1:12" x14ac:dyDescent="0.2">
      <c r="A19" s="2">
        <f t="shared" si="0"/>
        <v>18</v>
      </c>
      <c r="B19" s="3">
        <v>2876</v>
      </c>
      <c r="C19" s="3" t="s">
        <v>12</v>
      </c>
      <c r="D19" s="4">
        <v>2013</v>
      </c>
      <c r="E19" s="5">
        <v>50</v>
      </c>
      <c r="F19" s="5">
        <v>28</v>
      </c>
      <c r="G19" s="6">
        <v>1633.6</v>
      </c>
      <c r="H19" s="7">
        <f t="shared" si="1"/>
        <v>0.81152508693492298</v>
      </c>
      <c r="I19" s="8">
        <f t="shared" si="2"/>
        <v>58.342857142857142</v>
      </c>
      <c r="J19" s="5">
        <v>3</v>
      </c>
      <c r="K19" s="5">
        <v>6</v>
      </c>
      <c r="L19" s="5">
        <v>6</v>
      </c>
    </row>
    <row r="20" spans="1:12" x14ac:dyDescent="0.2">
      <c r="A20" s="2">
        <f t="shared" si="0"/>
        <v>19</v>
      </c>
      <c r="B20" s="3">
        <v>165</v>
      </c>
      <c r="C20" s="3" t="s">
        <v>12</v>
      </c>
      <c r="D20" s="4">
        <v>2021</v>
      </c>
      <c r="E20" s="5">
        <v>28</v>
      </c>
      <c r="F20" s="5">
        <v>17</v>
      </c>
      <c r="G20" s="6">
        <v>1633.2</v>
      </c>
      <c r="H20" s="7">
        <f t="shared" si="1"/>
        <v>0.80811479465611091</v>
      </c>
      <c r="I20" s="8">
        <f t="shared" si="2"/>
        <v>96.070588235294125</v>
      </c>
      <c r="J20" s="5">
        <v>2</v>
      </c>
      <c r="K20" s="5">
        <v>4</v>
      </c>
      <c r="L20" s="5">
        <v>4</v>
      </c>
    </row>
    <row r="21" spans="1:12" x14ac:dyDescent="0.2">
      <c r="A21" s="2">
        <f t="shared" si="0"/>
        <v>20</v>
      </c>
      <c r="B21" s="3">
        <v>2874</v>
      </c>
      <c r="C21" s="3" t="s">
        <v>12</v>
      </c>
      <c r="D21" s="4">
        <v>2000</v>
      </c>
      <c r="E21" s="5">
        <v>41</v>
      </c>
      <c r="F21" s="5">
        <v>22</v>
      </c>
      <c r="G21" s="6">
        <v>1607</v>
      </c>
      <c r="H21" s="7">
        <f t="shared" si="1"/>
        <v>0.80349999999999999</v>
      </c>
      <c r="I21" s="8">
        <f t="shared" si="2"/>
        <v>73.045454545454547</v>
      </c>
      <c r="J21" s="5">
        <v>3</v>
      </c>
      <c r="K21" s="5">
        <v>6</v>
      </c>
      <c r="L21" s="5">
        <v>6</v>
      </c>
    </row>
    <row r="22" spans="1:12" x14ac:dyDescent="0.2">
      <c r="A22" s="2">
        <f t="shared" si="0"/>
        <v>21</v>
      </c>
      <c r="B22" s="3">
        <v>2875</v>
      </c>
      <c r="C22" s="3" t="s">
        <v>12</v>
      </c>
      <c r="D22" s="4">
        <v>1980</v>
      </c>
      <c r="E22" s="5">
        <v>39</v>
      </c>
      <c r="F22" s="5">
        <v>21</v>
      </c>
      <c r="G22" s="6">
        <v>1587.7</v>
      </c>
      <c r="H22" s="7">
        <f t="shared" si="1"/>
        <v>0.80186868686868684</v>
      </c>
      <c r="I22" s="8">
        <f t="shared" si="2"/>
        <v>75.604761904761901</v>
      </c>
      <c r="J22" s="5">
        <v>3</v>
      </c>
      <c r="K22" s="5">
        <v>6</v>
      </c>
      <c r="L22" s="5">
        <v>6</v>
      </c>
    </row>
    <row r="23" spans="1:12" x14ac:dyDescent="0.2">
      <c r="A23" s="2">
        <f t="shared" si="0"/>
        <v>22</v>
      </c>
      <c r="B23" s="3">
        <v>196</v>
      </c>
      <c r="C23" s="3" t="s">
        <v>12</v>
      </c>
      <c r="D23" s="4">
        <v>1901</v>
      </c>
      <c r="E23" s="5">
        <v>45</v>
      </c>
      <c r="F23" s="5">
        <v>22</v>
      </c>
      <c r="G23" s="6">
        <v>1535.5</v>
      </c>
      <c r="H23" s="7">
        <f t="shared" si="1"/>
        <v>0.80773277222514461</v>
      </c>
      <c r="I23" s="8">
        <f t="shared" si="2"/>
        <v>69.795454545454547</v>
      </c>
      <c r="J23" s="5">
        <v>3</v>
      </c>
      <c r="K23" s="5">
        <v>6</v>
      </c>
      <c r="L23" s="5">
        <v>6</v>
      </c>
    </row>
    <row r="24" spans="1:12" x14ac:dyDescent="0.2">
      <c r="A24" s="2">
        <f t="shared" si="0"/>
        <v>23</v>
      </c>
      <c r="B24" s="3">
        <v>168</v>
      </c>
      <c r="C24" s="3" t="s">
        <v>12</v>
      </c>
      <c r="D24" s="4">
        <v>1858</v>
      </c>
      <c r="E24" s="5">
        <v>32</v>
      </c>
      <c r="F24" s="5">
        <v>16</v>
      </c>
      <c r="G24" s="6">
        <v>1522.1</v>
      </c>
      <c r="H24" s="7">
        <f t="shared" si="1"/>
        <v>0.81921420882669527</v>
      </c>
      <c r="I24" s="8">
        <f t="shared" si="2"/>
        <v>95.131249999999994</v>
      </c>
      <c r="J24" s="5">
        <v>3</v>
      </c>
      <c r="K24" s="5">
        <v>6</v>
      </c>
      <c r="L24" s="5">
        <v>6</v>
      </c>
    </row>
    <row r="25" spans="1:12" x14ac:dyDescent="0.2">
      <c r="A25" s="2">
        <f t="shared" si="0"/>
        <v>24</v>
      </c>
      <c r="B25" s="3">
        <v>177</v>
      </c>
      <c r="C25" s="3" t="s">
        <v>12</v>
      </c>
      <c r="D25" s="4">
        <v>1748</v>
      </c>
      <c r="E25" s="5">
        <v>17</v>
      </c>
      <c r="F25" s="5">
        <v>10</v>
      </c>
      <c r="G25" s="6">
        <v>1452.5</v>
      </c>
      <c r="H25" s="7">
        <f t="shared" si="1"/>
        <v>0.83094965675057209</v>
      </c>
      <c r="I25" s="8">
        <f t="shared" si="2"/>
        <v>145.25</v>
      </c>
      <c r="J25" s="5">
        <v>2</v>
      </c>
      <c r="K25" s="5">
        <v>4</v>
      </c>
      <c r="L25" s="5">
        <v>4</v>
      </c>
    </row>
    <row r="26" spans="1:12" x14ac:dyDescent="0.2">
      <c r="A26" s="2">
        <f t="shared" si="0"/>
        <v>25</v>
      </c>
      <c r="B26" s="3">
        <v>158</v>
      </c>
      <c r="C26" s="3" t="s">
        <v>14</v>
      </c>
      <c r="D26" s="4">
        <v>1699</v>
      </c>
      <c r="E26" s="5">
        <v>32</v>
      </c>
      <c r="F26" s="5">
        <v>20</v>
      </c>
      <c r="G26" s="6">
        <v>1390.8</v>
      </c>
      <c r="H26" s="7">
        <f t="shared" si="1"/>
        <v>0.81859917598587406</v>
      </c>
      <c r="I26" s="8">
        <f t="shared" si="2"/>
        <v>69.539999999999992</v>
      </c>
      <c r="J26" s="5">
        <v>3</v>
      </c>
      <c r="K26" s="5">
        <v>6</v>
      </c>
      <c r="L26" s="5">
        <v>6</v>
      </c>
    </row>
    <row r="27" spans="1:12" x14ac:dyDescent="0.2">
      <c r="A27" s="2">
        <f t="shared" si="0"/>
        <v>26</v>
      </c>
      <c r="B27" s="3">
        <v>203</v>
      </c>
      <c r="C27" s="3" t="s">
        <v>14</v>
      </c>
      <c r="D27" s="4">
        <v>1664</v>
      </c>
      <c r="E27" s="5">
        <v>40</v>
      </c>
      <c r="F27" s="5">
        <v>14</v>
      </c>
      <c r="G27" s="6">
        <v>1338.6</v>
      </c>
      <c r="H27" s="7">
        <f t="shared" si="1"/>
        <v>0.80444711538461533</v>
      </c>
      <c r="I27" s="8">
        <f t="shared" si="2"/>
        <v>95.614285714285714</v>
      </c>
      <c r="J27" s="5">
        <v>3</v>
      </c>
      <c r="K27" s="5">
        <v>6</v>
      </c>
      <c r="L27" s="5">
        <v>4</v>
      </c>
    </row>
    <row r="28" spans="1:12" x14ac:dyDescent="0.2">
      <c r="A28" s="2">
        <f t="shared" si="0"/>
        <v>27</v>
      </c>
      <c r="B28" s="3">
        <v>197</v>
      </c>
      <c r="C28" s="3" t="s">
        <v>12</v>
      </c>
      <c r="D28" s="4">
        <v>1666</v>
      </c>
      <c r="E28" s="5">
        <v>25</v>
      </c>
      <c r="F28" s="5">
        <v>12</v>
      </c>
      <c r="G28" s="6">
        <v>1337.9</v>
      </c>
      <c r="H28" s="7">
        <f t="shared" si="1"/>
        <v>0.803061224489796</v>
      </c>
      <c r="I28" s="8">
        <f t="shared" si="2"/>
        <v>111.49166666666667</v>
      </c>
      <c r="J28" s="5">
        <v>2</v>
      </c>
      <c r="K28" s="5">
        <v>4</v>
      </c>
      <c r="L28" s="5">
        <v>4</v>
      </c>
    </row>
    <row r="29" spans="1:12" x14ac:dyDescent="0.2">
      <c r="A29" s="2">
        <f t="shared" si="0"/>
        <v>28</v>
      </c>
      <c r="B29" s="3">
        <v>204</v>
      </c>
      <c r="C29" s="3" t="s">
        <v>14</v>
      </c>
      <c r="D29" s="4">
        <v>1614</v>
      </c>
      <c r="E29" s="5">
        <v>69</v>
      </c>
      <c r="F29" s="5">
        <v>38</v>
      </c>
      <c r="G29" s="6">
        <v>1304.4000000000001</v>
      </c>
      <c r="H29" s="7">
        <f t="shared" si="1"/>
        <v>0.80817843866171013</v>
      </c>
      <c r="I29" s="8">
        <f t="shared" si="2"/>
        <v>34.326315789473689</v>
      </c>
      <c r="J29" s="5">
        <v>4</v>
      </c>
      <c r="K29" s="5">
        <v>8</v>
      </c>
      <c r="L29" s="5">
        <v>8</v>
      </c>
    </row>
    <row r="30" spans="1:12" x14ac:dyDescent="0.2">
      <c r="A30" s="2">
        <f t="shared" si="0"/>
        <v>29</v>
      </c>
      <c r="B30" s="3">
        <v>166</v>
      </c>
      <c r="C30" s="3" t="s">
        <v>12</v>
      </c>
      <c r="D30" s="4">
        <v>1529</v>
      </c>
      <c r="E30" s="5">
        <v>21</v>
      </c>
      <c r="F30" s="5">
        <v>13</v>
      </c>
      <c r="G30" s="6">
        <v>1246.8</v>
      </c>
      <c r="H30" s="7">
        <f t="shared" si="1"/>
        <v>0.81543492478744273</v>
      </c>
      <c r="I30" s="8">
        <f t="shared" si="2"/>
        <v>95.907692307692301</v>
      </c>
      <c r="J30" s="5">
        <v>2</v>
      </c>
      <c r="K30" s="5">
        <v>4</v>
      </c>
      <c r="L30" s="5">
        <v>4</v>
      </c>
    </row>
    <row r="31" spans="1:12" x14ac:dyDescent="0.2">
      <c r="A31" s="2">
        <f t="shared" si="0"/>
        <v>30</v>
      </c>
      <c r="B31" s="3">
        <v>175</v>
      </c>
      <c r="C31" s="3" t="s">
        <v>12</v>
      </c>
      <c r="D31" s="4">
        <v>1449</v>
      </c>
      <c r="E31" s="5">
        <v>19</v>
      </c>
      <c r="F31" s="5">
        <v>11</v>
      </c>
      <c r="G31" s="6">
        <v>1207.0999999999999</v>
      </c>
      <c r="H31" s="7">
        <f t="shared" si="1"/>
        <v>0.83305728088336772</v>
      </c>
      <c r="I31" s="8">
        <f t="shared" si="2"/>
        <v>109.73636363636363</v>
      </c>
      <c r="J31" s="5">
        <v>2</v>
      </c>
      <c r="K31" s="5">
        <v>4</v>
      </c>
      <c r="L31" s="5">
        <v>4</v>
      </c>
    </row>
    <row r="32" spans="1:12" x14ac:dyDescent="0.2">
      <c r="A32" s="2">
        <f t="shared" si="0"/>
        <v>31</v>
      </c>
      <c r="B32" s="3">
        <v>193</v>
      </c>
      <c r="C32" s="3" t="s">
        <v>12</v>
      </c>
      <c r="D32" s="4">
        <v>1489</v>
      </c>
      <c r="E32" s="5">
        <v>19</v>
      </c>
      <c r="F32" s="5">
        <v>11</v>
      </c>
      <c r="G32" s="6">
        <v>1197.2</v>
      </c>
      <c r="H32" s="7">
        <f t="shared" si="1"/>
        <v>0.80402955003357957</v>
      </c>
      <c r="I32" s="8">
        <f t="shared" si="2"/>
        <v>108.83636363636364</v>
      </c>
      <c r="J32" s="5">
        <v>2</v>
      </c>
      <c r="K32" s="5">
        <v>4</v>
      </c>
      <c r="L32" s="5">
        <v>4</v>
      </c>
    </row>
    <row r="33" spans="1:12" x14ac:dyDescent="0.2">
      <c r="A33" s="2">
        <f t="shared" si="0"/>
        <v>32</v>
      </c>
      <c r="B33" s="3">
        <v>198</v>
      </c>
      <c r="C33" s="3" t="s">
        <v>12</v>
      </c>
      <c r="D33" s="4">
        <v>1324</v>
      </c>
      <c r="E33" s="5">
        <v>6</v>
      </c>
      <c r="F33" s="5">
        <v>4</v>
      </c>
      <c r="G33" s="6">
        <v>1176.3</v>
      </c>
      <c r="H33" s="7">
        <f t="shared" si="1"/>
        <v>0.88844410876132929</v>
      </c>
      <c r="I33" s="8">
        <f t="shared" si="2"/>
        <v>294.07499999999999</v>
      </c>
      <c r="J33" s="5">
        <v>2</v>
      </c>
      <c r="K33" s="5">
        <v>4</v>
      </c>
      <c r="L33" s="5">
        <v>2</v>
      </c>
    </row>
    <row r="34" spans="1:12" x14ac:dyDescent="0.2">
      <c r="A34" s="2">
        <f t="shared" si="0"/>
        <v>33</v>
      </c>
      <c r="B34" s="3">
        <v>187</v>
      </c>
      <c r="C34" s="3" t="s">
        <v>12</v>
      </c>
      <c r="D34" s="4">
        <v>1451</v>
      </c>
      <c r="E34" s="5">
        <v>19</v>
      </c>
      <c r="F34" s="5">
        <v>11</v>
      </c>
      <c r="G34" s="6">
        <v>1174.2</v>
      </c>
      <c r="H34" s="7">
        <f t="shared" si="1"/>
        <v>0.80923501033769818</v>
      </c>
      <c r="I34" s="8">
        <f t="shared" si="2"/>
        <v>106.74545454545455</v>
      </c>
      <c r="J34" s="5">
        <v>2</v>
      </c>
      <c r="K34" s="5">
        <v>4</v>
      </c>
      <c r="L34" s="5">
        <v>4</v>
      </c>
    </row>
    <row r="35" spans="1:12" x14ac:dyDescent="0.2">
      <c r="A35" s="2">
        <f t="shared" si="0"/>
        <v>34</v>
      </c>
      <c r="B35" s="3">
        <v>162</v>
      </c>
      <c r="C35" s="3" t="s">
        <v>12</v>
      </c>
      <c r="D35" s="4">
        <v>1383</v>
      </c>
      <c r="E35" s="5">
        <v>18</v>
      </c>
      <c r="F35" s="5">
        <v>10</v>
      </c>
      <c r="G35" s="6">
        <v>1150.9000000000001</v>
      </c>
      <c r="H35" s="7">
        <f t="shared" si="1"/>
        <v>0.83217642805495307</v>
      </c>
      <c r="I35" s="8">
        <f t="shared" si="2"/>
        <v>115.09</v>
      </c>
      <c r="J35" s="5">
        <v>2</v>
      </c>
      <c r="K35" s="5">
        <v>4</v>
      </c>
      <c r="L35" s="5">
        <v>4</v>
      </c>
    </row>
    <row r="36" spans="1:12" x14ac:dyDescent="0.2">
      <c r="A36" s="2">
        <f t="shared" si="0"/>
        <v>35</v>
      </c>
      <c r="B36" s="3">
        <v>206</v>
      </c>
      <c r="C36" s="3" t="s">
        <v>12</v>
      </c>
      <c r="D36" s="4">
        <v>1387</v>
      </c>
      <c r="E36" s="5">
        <v>58</v>
      </c>
      <c r="F36" s="5">
        <v>31</v>
      </c>
      <c r="G36" s="6">
        <v>1127.2</v>
      </c>
      <c r="H36" s="7">
        <f t="shared" si="1"/>
        <v>0.81268925739005049</v>
      </c>
      <c r="I36" s="8">
        <f t="shared" si="2"/>
        <v>36.361290322580643</v>
      </c>
      <c r="J36" s="5">
        <v>4</v>
      </c>
      <c r="K36" s="5">
        <v>8</v>
      </c>
      <c r="L36" s="5">
        <v>8</v>
      </c>
    </row>
    <row r="37" spans="1:12" x14ac:dyDescent="0.2">
      <c r="A37" s="2">
        <f t="shared" si="0"/>
        <v>36</v>
      </c>
      <c r="B37" s="3">
        <v>194</v>
      </c>
      <c r="C37" s="3" t="s">
        <v>12</v>
      </c>
      <c r="D37" s="4">
        <v>1354</v>
      </c>
      <c r="E37" s="5">
        <v>29</v>
      </c>
      <c r="F37" s="5">
        <v>15</v>
      </c>
      <c r="G37" s="6">
        <v>1115.2</v>
      </c>
      <c r="H37" s="7">
        <f t="shared" si="1"/>
        <v>0.8236336779911374</v>
      </c>
      <c r="I37" s="8">
        <f t="shared" si="2"/>
        <v>74.346666666666664</v>
      </c>
      <c r="J37" s="5">
        <v>2</v>
      </c>
      <c r="K37" s="5">
        <v>4</v>
      </c>
      <c r="L37" s="5">
        <v>4</v>
      </c>
    </row>
    <row r="38" spans="1:12" x14ac:dyDescent="0.2">
      <c r="A38" s="2">
        <f t="shared" si="0"/>
        <v>37</v>
      </c>
      <c r="B38" s="3">
        <v>176</v>
      </c>
      <c r="C38" s="3" t="s">
        <v>12</v>
      </c>
      <c r="D38" s="4">
        <v>1347</v>
      </c>
      <c r="E38" s="5">
        <v>21</v>
      </c>
      <c r="F38" s="5">
        <v>13</v>
      </c>
      <c r="G38" s="6">
        <v>1087</v>
      </c>
      <c r="H38" s="7">
        <f t="shared" si="1"/>
        <v>0.80697847067557538</v>
      </c>
      <c r="I38" s="8">
        <f t="shared" si="2"/>
        <v>83.615384615384613</v>
      </c>
      <c r="J38" s="5">
        <v>2</v>
      </c>
      <c r="K38" s="5">
        <v>4</v>
      </c>
      <c r="L38" s="5">
        <v>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Priorizacion 865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2026-07-10T18:54:40Z</dcterms:created>
  <dcterms:modified xsi:type="dcterms:W3CDTF">2026-07-11T01:00:56Z</dcterms:modified>
  <dc:language>en-US</dc:language>
</cp:coreProperties>
</file>